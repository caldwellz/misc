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ev\Projects\- Misc\Utils\"/>
    </mc:Choice>
  </mc:AlternateContent>
  <xr:revisionPtr revIDLastSave="0" documentId="13_ncr:1_{A99CEB65-EA05-43EE-A1B2-04E4244AB82C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MBR Creator" sheetId="19" r:id="rId1"/>
    <sheet name="MBR U.S. Template" sheetId="3" r:id="rId2"/>
  </sheets>
  <functionGroups builtInGroupCount="19"/>
  <definedNames>
    <definedName name="APHIS" localSheetId="1">'MBR U.S. Template'!$T$14</definedName>
    <definedName name="Collection_Dates" localSheetId="1">'MBR U.S. Template'!$T$20</definedName>
    <definedName name="Collection_Source" localSheetId="1">'MBR U.S. Template'!$T$15</definedName>
    <definedName name="FilePath">'MBR Creator'!$A$5</definedName>
    <definedName name="FSIS" localSheetId="1">'MBR U.S. Template'!$T$16</definedName>
    <definedName name="Location_of_Variables" localSheetId="1">'MBR U.S. Template'!$T$1</definedName>
    <definedName name="Lot_Range" localSheetId="1">'MBR U.S. Template'!$T$22</definedName>
    <definedName name="Lot_Range_1_Endings" localSheetId="1">'MBR U.S. Template'!$T$8</definedName>
    <definedName name="Lot_Range_1_Starters" localSheetId="1">'MBR U.S. Template'!$T$7</definedName>
    <definedName name="Page_Lot_Numbers" localSheetId="1">'MBR U.S. Template'!$T$18</definedName>
    <definedName name="Page_Num" localSheetId="1">'MBR U.S. Template'!$T$11</definedName>
    <definedName name="Page_Total_Lots">'MBR U.S. Template'!$T$23</definedName>
    <definedName name="Part_Number" localSheetId="1">'MBR U.S. Template'!$T$6</definedName>
    <definedName name="Plant_Address" localSheetId="1">'MBR U.S. Template'!$T$17</definedName>
    <definedName name="Plant_Name_List" localSheetId="1">'MBR U.S. Template'!$T$19</definedName>
    <definedName name="PlantHeader">'MBR Creator'!$L$3</definedName>
    <definedName name="PlantTotal">'MBR Creator'!$T$2</definedName>
    <definedName name="Processing_Address" localSheetId="1">'MBR U.S. Template'!$T$13</definedName>
    <definedName name="Processing_Dates" localSheetId="1">'MBR U.S. Template'!$T$21</definedName>
    <definedName name="Processing_Lab" localSheetId="1">'MBR U.S. Template'!$T$12</definedName>
    <definedName name="Range_Liter_Nums" localSheetId="1">'MBR U.S. Template'!$T$9</definedName>
    <definedName name="Range_Lot_Nums" localSheetId="1">'MBR U.S. Template'!$T$10</definedName>
    <definedName name="Sample_Date" localSheetId="1">'MBR U.S. Template'!$T$5</definedName>
    <definedName name="SampleDate">'MBR Creator'!$C$10</definedName>
    <definedName name="SerumInventoryPlantRow">'MBR Creator'!$J$10</definedName>
    <definedName name="TemplateVars" localSheetId="1">'MBR U.S. Template'!$S$1</definedName>
    <definedName name="Total_Sheet_Size" localSheetId="1">'MBR U.S. Template'!$T$4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2" i="19" l="1"/>
  <c r="N13" i="3" l="1"/>
  <c r="L9" i="3" l="1"/>
  <c r="E3" i="3" s="1"/>
  <c r="K9" i="3" l="1"/>
  <c r="B3" i="3" s="1"/>
</calcChain>
</file>

<file path=xl/sharedStrings.xml><?xml version="1.0" encoding="utf-8"?>
<sst xmlns="http://schemas.openxmlformats.org/spreadsheetml/2006/main" count="289" uniqueCount="104">
  <si>
    <t>Lot No</t>
  </si>
  <si>
    <t>Liters</t>
  </si>
  <si>
    <t>Lots</t>
  </si>
  <si>
    <t>Through</t>
  </si>
  <si>
    <t>Collection Source:</t>
  </si>
  <si>
    <t>Nebraska Beef</t>
  </si>
  <si>
    <t>Product meets European Union requirements for production of technical blood product</t>
  </si>
  <si>
    <t>Page</t>
  </si>
  <si>
    <t>Processing Lab</t>
  </si>
  <si>
    <t>Plant</t>
  </si>
  <si>
    <t>Double J</t>
  </si>
  <si>
    <t>6 Liters per Lot</t>
  </si>
  <si>
    <t>MASTER BATCH RECORD</t>
  </si>
  <si>
    <t>Total:</t>
  </si>
  <si>
    <t>1. Select the Serum Inventory spreadsheet to pull data from:</t>
  </si>
  <si>
    <t>Master Batch Record Creator</t>
  </si>
  <si>
    <t>Part #</t>
  </si>
  <si>
    <t>Plant Address</t>
  </si>
  <si>
    <t>Processing Address</t>
  </si>
  <si>
    <t>FSIS #</t>
  </si>
  <si>
    <t>APHIS #</t>
  </si>
  <si>
    <t>Plant List</t>
  </si>
  <si>
    <t>West Michigan Beef</t>
  </si>
  <si>
    <t>Tyson - Lexington</t>
  </si>
  <si>
    <t>Tyson - Dakota</t>
  </si>
  <si>
    <t>Tyson - Holcomb</t>
  </si>
  <si>
    <t>Tyson - Amarillo</t>
  </si>
  <si>
    <t>JBS - Grand Island</t>
  </si>
  <si>
    <t>JBS - Omaha</t>
  </si>
  <si>
    <t>JBS - Tolleson</t>
  </si>
  <si>
    <t>JBS - Plainwell</t>
  </si>
  <si>
    <t>JBS - Souderton</t>
  </si>
  <si>
    <t>JBS - Green Bay</t>
  </si>
  <si>
    <t>JBS - Hyrum</t>
  </si>
  <si>
    <t>JBS - Greeley</t>
  </si>
  <si>
    <t>JBS - Cactus</t>
  </si>
  <si>
    <t>Plants:</t>
  </si>
  <si>
    <t>H&amp;B Packing Waco</t>
  </si>
  <si>
    <t>Washington Beef - Toppenish</t>
  </si>
  <si>
    <t>Tyson - Pasco</t>
  </si>
  <si>
    <t>3. Click the Generate button:</t>
  </si>
  <si>
    <t>(You will likely only need to do this step once unless the name and/or location of the file changes)</t>
  </si>
  <si>
    <t>Generator error log (automatically clears before each run):</t>
  </si>
  <si>
    <t xml:space="preserve">FSIS # </t>
  </si>
  <si>
    <t>Plant Address:</t>
  </si>
  <si>
    <t xml:space="preserve">APHIS # </t>
  </si>
  <si>
    <t xml:space="preserve">Processing Lab - </t>
  </si>
  <si>
    <t>Sample</t>
  </si>
  <si>
    <t xml:space="preserve">Sample Date: </t>
  </si>
  <si>
    <t xml:space="preserve">Liters: </t>
  </si>
  <si>
    <t xml:space="preserve">Part Number: </t>
  </si>
  <si>
    <t xml:space="preserve">Number of Lots: </t>
  </si>
  <si>
    <t>Sample Date</t>
  </si>
  <si>
    <t>B2</t>
  </si>
  <si>
    <t>Part Number</t>
  </si>
  <si>
    <t>E2</t>
  </si>
  <si>
    <t>Lot Range 1 Starters</t>
  </si>
  <si>
    <t>Lot Range 1 Endings</t>
  </si>
  <si>
    <t>F6:F8</t>
  </si>
  <si>
    <t>I6:I8</t>
  </si>
  <si>
    <t>K6:K8</t>
  </si>
  <si>
    <t>L6:L8</t>
  </si>
  <si>
    <t>Page #</t>
  </si>
  <si>
    <t>N6</t>
  </si>
  <si>
    <t>Location of Variables</t>
  </si>
  <si>
    <t>A11</t>
  </si>
  <si>
    <t>APHIS</t>
  </si>
  <si>
    <t>A13</t>
  </si>
  <si>
    <t>A14:A40</t>
  </si>
  <si>
    <t>FSIS</t>
  </si>
  <si>
    <t>L11</t>
  </si>
  <si>
    <t>Collection Source</t>
  </si>
  <si>
    <t>F11</t>
  </si>
  <si>
    <t>I13</t>
  </si>
  <si>
    <t>A12</t>
  </si>
  <si>
    <t xml:space="preserve">Lot Numbers: </t>
  </si>
  <si>
    <t>Range Liter #'s</t>
  </si>
  <si>
    <t>Range Lot #'s</t>
  </si>
  <si>
    <t>Page Lot Numbers</t>
  </si>
  <si>
    <t>Collection Dates</t>
  </si>
  <si>
    <t>B14:B40</t>
  </si>
  <si>
    <t>(These will be automatically adjusted for each additional page and removed from the final MBR)</t>
  </si>
  <si>
    <t>Total Sheet Size</t>
  </si>
  <si>
    <t>A1:O41</t>
  </si>
  <si>
    <t>Processing Dates</t>
  </si>
  <si>
    <t>C14:C40</t>
  </si>
  <si>
    <t>Lot Range</t>
  </si>
  <si>
    <t>D14:O40</t>
  </si>
  <si>
    <t>Plant Name List</t>
  </si>
  <si>
    <t>2. Fill in / update needed variables and add / modify Plant List data if needed.</t>
  </si>
  <si>
    <t>4. Wait for the new MBR to finish generating, then just switch to it and save/use it.</t>
  </si>
  <si>
    <t>F12</t>
  </si>
  <si>
    <t>- Sample Date:</t>
  </si>
  <si>
    <t>(Plant names here need to match those in the Serum Inventory for the purpose of pulling in lot data; letter case can differ)</t>
  </si>
  <si>
    <t>DemKo Beef</t>
  </si>
  <si>
    <t>Page Total Lots</t>
  </si>
  <si>
    <t>E13</t>
  </si>
  <si>
    <t>S1:T23</t>
  </si>
  <si>
    <t>(A couple of Excel windows will rapidly switch back and forth for a minute; this is normal.)</t>
  </si>
  <si>
    <t xml:space="preserve">(Put here so that they're not statically set in code and can be adjusted if the template is changed.) </t>
  </si>
  <si>
    <t>(all other data has been cleared)</t>
  </si>
  <si>
    <t>Serum Inventory_All Plants.xlsx</t>
  </si>
  <si>
    <r>
      <t>2018 GitHub Upload Notes:</t>
    </r>
    <r>
      <rPr>
        <sz val="12"/>
        <color theme="1"/>
        <rFont val="Calibri"/>
        <family val="2"/>
        <scheme val="minor"/>
      </rPr>
      <t xml:space="preserve"> This is a VBA project I did in Feb/March 2017 for a business client, to ease the creation of inventory batch records; view the macro code to see the</t>
    </r>
    <r>
      <rPr>
        <b/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Calibri"/>
        <family val="2"/>
        <scheme val="minor"/>
      </rPr>
      <t>bulk</t>
    </r>
  </si>
  <si>
    <t>of the work. The full version with all data was functional, but in the interest of protecting corporate information, I have not included plant or inventory data besides the names above.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</si>
</sst>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_);[Red]\(&quot;$&quot;#,##0.00\)"/>
    <numFmt numFmtId="44" formatCode="_(&quot;$&quot;* #,##0.00_);_(&quot;$&quot;* \(#,##0.00\);_(&quot;$&quot;* &quot;-&quot;??_);_(@_)"/>
    <numFmt numFmtId="164" formatCode="m/d/yy;@"/>
    <numFmt numFmtId="165" formatCode="d\-mmm\-yy;@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sz val="10"/>
      <name val="Verdana"/>
      <family val="2"/>
    </font>
    <font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31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 style="medium">
        <color indexed="8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8"/>
      </left>
      <right style="medium">
        <color indexed="64"/>
      </right>
      <top/>
      <bottom style="medium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64"/>
      </top>
      <bottom/>
      <diagonal/>
    </border>
  </borders>
  <cellStyleXfs count="20">
    <xf numFmtId="0" fontId="0" fillId="0" borderId="0"/>
    <xf numFmtId="0" fontId="4" fillId="0" borderId="0"/>
    <xf numFmtId="0" fontId="2" fillId="2" borderId="1" applyNumberFormat="0" applyFont="0" applyFill="0" applyBorder="0" applyAlignment="0" applyProtection="0"/>
    <xf numFmtId="44" fontId="4" fillId="0" borderId="0" applyFill="0" applyBorder="0" applyAlignment="0" applyProtection="0"/>
    <xf numFmtId="44" fontId="1" fillId="0" borderId="0" applyFont="0" applyFill="0" applyBorder="0" applyAlignment="0" applyProtection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1" fillId="0" borderId="0"/>
    <xf numFmtId="0" fontId="4" fillId="0" borderId="0"/>
    <xf numFmtId="0" fontId="9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1" fillId="0" borderId="0"/>
    <xf numFmtId="0" fontId="4" fillId="0" borderId="0"/>
  </cellStyleXfs>
  <cellXfs count="108">
    <xf numFmtId="0" fontId="0" fillId="0" borderId="0" xfId="0"/>
    <xf numFmtId="0" fontId="3" fillId="0" borderId="0" xfId="0" applyFont="1"/>
    <xf numFmtId="0" fontId="4" fillId="0" borderId="0" xfId="6"/>
    <xf numFmtId="0" fontId="6" fillId="0" borderId="0" xfId="6" applyFont="1"/>
    <xf numFmtId="164" fontId="4" fillId="0" borderId="0" xfId="6" applyNumberFormat="1" applyAlignment="1">
      <alignment horizontal="center"/>
    </xf>
    <xf numFmtId="0" fontId="6" fillId="0" borderId="0" xfId="6" applyFont="1" applyAlignment="1">
      <alignment horizontal="center"/>
    </xf>
    <xf numFmtId="0" fontId="4" fillId="0" borderId="0" xfId="6" applyFont="1" applyAlignment="1">
      <alignment horizontal="center"/>
    </xf>
    <xf numFmtId="0" fontId="7" fillId="0" borderId="0" xfId="6" applyFont="1"/>
    <xf numFmtId="165" fontId="6" fillId="0" borderId="0" xfId="6" applyNumberFormat="1" applyFont="1" applyAlignment="1">
      <alignment horizontal="left"/>
    </xf>
    <xf numFmtId="164" fontId="4" fillId="0" borderId="6" xfId="6" applyNumberFormat="1" applyBorder="1" applyAlignment="1">
      <alignment horizontal="center"/>
    </xf>
    <xf numFmtId="0" fontId="4" fillId="0" borderId="0" xfId="6" applyFont="1" applyFill="1" applyAlignment="1">
      <alignment horizontal="center"/>
    </xf>
    <xf numFmtId="164" fontId="6" fillId="0" borderId="9" xfId="6" applyNumberFormat="1" applyFont="1" applyBorder="1" applyAlignment="1">
      <alignment horizontal="center"/>
    </xf>
    <xf numFmtId="0" fontId="0" fillId="0" borderId="0" xfId="0" applyAlignment="1"/>
    <xf numFmtId="0" fontId="6" fillId="0" borderId="14" xfId="6" applyFont="1" applyBorder="1" applyAlignment="1">
      <alignment horizontal="left"/>
    </xf>
    <xf numFmtId="0" fontId="6" fillId="0" borderId="12" xfId="6" applyFont="1" applyBorder="1" applyAlignment="1">
      <alignment horizontal="left"/>
    </xf>
    <xf numFmtId="0" fontId="6" fillId="0" borderId="15" xfId="6" applyFont="1" applyBorder="1" applyAlignment="1">
      <alignment horizontal="left"/>
    </xf>
    <xf numFmtId="0" fontId="6" fillId="0" borderId="19" xfId="6" applyFont="1" applyBorder="1" applyAlignment="1">
      <alignment horizontal="left"/>
    </xf>
    <xf numFmtId="0" fontId="3" fillId="0" borderId="0" xfId="0" applyFont="1" applyAlignment="1"/>
    <xf numFmtId="0" fontId="3" fillId="0" borderId="0" xfId="0" applyFont="1" applyAlignment="1">
      <alignment horizontal="right"/>
    </xf>
    <xf numFmtId="0" fontId="3" fillId="0" borderId="16" xfId="0" applyFont="1" applyBorder="1" applyAlignment="1">
      <alignment horizontal="right"/>
    </xf>
    <xf numFmtId="0" fontId="4" fillId="0" borderId="11" xfId="6" applyBorder="1" applyAlignment="1">
      <alignment horizontal="center"/>
    </xf>
    <xf numFmtId="0" fontId="6" fillId="0" borderId="17" xfId="6" applyFont="1" applyBorder="1" applyAlignment="1">
      <alignment horizontal="center" vertical="center" wrapText="1"/>
    </xf>
    <xf numFmtId="1" fontId="4" fillId="0" borderId="0" xfId="6" applyNumberFormat="1" applyBorder="1" applyAlignment="1">
      <alignment horizontal="center"/>
    </xf>
    <xf numFmtId="1" fontId="4" fillId="0" borderId="10" xfId="6" applyNumberFormat="1" applyBorder="1" applyAlignment="1">
      <alignment horizontal="center"/>
    </xf>
    <xf numFmtId="0" fontId="4" fillId="0" borderId="11" xfId="6" applyFill="1" applyBorder="1" applyAlignment="1">
      <alignment horizontal="center"/>
    </xf>
    <xf numFmtId="1" fontId="6" fillId="0" borderId="18" xfId="6" applyNumberFormat="1" applyFont="1" applyBorder="1" applyAlignment="1">
      <alignment horizontal="right"/>
    </xf>
    <xf numFmtId="0" fontId="6" fillId="0" borderId="18" xfId="6" applyFont="1" applyBorder="1" applyAlignment="1">
      <alignment horizontal="left"/>
    </xf>
    <xf numFmtId="1" fontId="0" fillId="0" borderId="13" xfId="0" applyNumberFormat="1" applyBorder="1" applyAlignment="1">
      <alignment horizontal="center"/>
    </xf>
    <xf numFmtId="0" fontId="4" fillId="0" borderId="6" xfId="6" applyFont="1" applyBorder="1" applyAlignment="1">
      <alignment horizontal="left"/>
    </xf>
    <xf numFmtId="0" fontId="4" fillId="0" borderId="0" xfId="6" applyAlignment="1">
      <alignment horizontal="left"/>
    </xf>
    <xf numFmtId="0" fontId="4" fillId="0" borderId="0" xfId="6" applyFill="1" applyAlignment="1">
      <alignment horizontal="center"/>
    </xf>
    <xf numFmtId="1" fontId="4" fillId="0" borderId="0" xfId="6" applyNumberFormat="1" applyAlignment="1">
      <alignment horizontal="center"/>
    </xf>
    <xf numFmtId="0" fontId="4" fillId="0" borderId="0" xfId="6" applyAlignment="1">
      <alignment horizontal="center"/>
    </xf>
    <xf numFmtId="0" fontId="4" fillId="0" borderId="0" xfId="6" applyAlignment="1">
      <alignment horizontal="right"/>
    </xf>
    <xf numFmtId="0" fontId="6" fillId="0" borderId="0" xfId="6" applyFont="1" applyBorder="1" applyAlignment="1"/>
    <xf numFmtId="0" fontId="0" fillId="0" borderId="0" xfId="0"/>
    <xf numFmtId="0" fontId="6" fillId="0" borderId="6" xfId="6" applyFont="1" applyBorder="1"/>
    <xf numFmtId="0" fontId="6" fillId="0" borderId="7" xfId="6" applyFont="1" applyBorder="1"/>
    <xf numFmtId="0" fontId="6" fillId="0" borderId="5" xfId="6" applyFont="1" applyBorder="1"/>
    <xf numFmtId="0" fontId="8" fillId="0" borderId="4" xfId="6" applyFont="1" applyBorder="1" applyAlignment="1">
      <alignment horizontal="centerContinuous"/>
    </xf>
    <xf numFmtId="0" fontId="8" fillId="0" borderId="8" xfId="6" applyFont="1" applyBorder="1" applyAlignment="1">
      <alignment horizontal="centerContinuous"/>
    </xf>
    <xf numFmtId="0" fontId="8" fillId="0" borderId="2" xfId="6" applyFont="1" applyBorder="1" applyAlignment="1">
      <alignment horizontal="centerContinuous"/>
    </xf>
    <xf numFmtId="0" fontId="8" fillId="0" borderId="3" xfId="6" applyFont="1" applyBorder="1" applyAlignment="1">
      <alignment horizontal="centerContinuous"/>
    </xf>
    <xf numFmtId="1" fontId="8" fillId="0" borderId="8" xfId="6" applyNumberFormat="1" applyFont="1" applyBorder="1" applyAlignment="1">
      <alignment horizontal="centerContinuous"/>
    </xf>
    <xf numFmtId="1" fontId="8" fillId="0" borderId="2" xfId="6" applyNumberFormat="1" applyFont="1" applyFill="1" applyBorder="1" applyAlignment="1">
      <alignment horizontal="centerContinuous"/>
    </xf>
    <xf numFmtId="0" fontId="0" fillId="0" borderId="13" xfId="0" applyFill="1" applyBorder="1" applyAlignment="1">
      <alignment horizontal="center"/>
    </xf>
    <xf numFmtId="0" fontId="3" fillId="0" borderId="0" xfId="0" applyFont="1" applyBorder="1" applyAlignment="1">
      <alignment horizontal="right"/>
    </xf>
    <xf numFmtId="0" fontId="3" fillId="0" borderId="0" xfId="0" applyFont="1" applyFill="1" applyBorder="1"/>
    <xf numFmtId="0" fontId="3" fillId="0" borderId="0" xfId="0" applyFont="1" applyFill="1" applyBorder="1" applyAlignment="1">
      <alignment horizontal="right"/>
    </xf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4" fillId="0" borderId="0" xfId="6" applyFill="1" applyAlignment="1">
      <alignment horizontal="right"/>
    </xf>
    <xf numFmtId="0" fontId="4" fillId="0" borderId="0" xfId="6" applyFill="1" applyAlignment="1">
      <alignment horizontal="left"/>
    </xf>
    <xf numFmtId="0" fontId="6" fillId="0" borderId="16" xfId="6" applyFont="1" applyBorder="1" applyAlignment="1"/>
    <xf numFmtId="0" fontId="6" fillId="0" borderId="11" xfId="6" applyFont="1" applyBorder="1" applyAlignment="1"/>
    <xf numFmtId="0" fontId="0" fillId="0" borderId="0" xfId="0" applyFont="1" applyAlignment="1">
      <alignment horizontal="center"/>
    </xf>
    <xf numFmtId="0" fontId="0" fillId="0" borderId="0" xfId="0"/>
    <xf numFmtId="0" fontId="0" fillId="0" borderId="23" xfId="0" applyBorder="1"/>
    <xf numFmtId="0" fontId="6" fillId="0" borderId="18" xfId="6" applyFont="1" applyBorder="1" applyAlignment="1">
      <alignment horizontal="left"/>
    </xf>
    <xf numFmtId="0" fontId="6" fillId="0" borderId="18" xfId="6" applyFont="1" applyBorder="1" applyAlignment="1">
      <alignment horizontal="center"/>
    </xf>
    <xf numFmtId="0" fontId="0" fillId="0" borderId="22" xfId="0" applyBorder="1"/>
    <xf numFmtId="0" fontId="0" fillId="0" borderId="0" xfId="0" applyBorder="1"/>
    <xf numFmtId="0" fontId="0" fillId="0" borderId="21" xfId="0" applyBorder="1"/>
    <xf numFmtId="0" fontId="11" fillId="0" borderId="0" xfId="0" applyFont="1" applyBorder="1" applyAlignment="1"/>
    <xf numFmtId="0" fontId="0" fillId="0" borderId="26" xfId="0" applyBorder="1" applyAlignment="1">
      <alignment wrapText="1"/>
    </xf>
    <xf numFmtId="0" fontId="0" fillId="0" borderId="27" xfId="0" applyBorder="1"/>
    <xf numFmtId="0" fontId="0" fillId="0" borderId="28" xfId="0" applyBorder="1"/>
    <xf numFmtId="8" fontId="0" fillId="0" borderId="0" xfId="0" applyNumberFormat="1" applyBorder="1"/>
    <xf numFmtId="0" fontId="0" fillId="0" borderId="0" xfId="0" applyFont="1"/>
    <xf numFmtId="0" fontId="0" fillId="0" borderId="0" xfId="0" applyBorder="1" applyAlignment="1">
      <alignment wrapText="1"/>
    </xf>
    <xf numFmtId="0" fontId="0" fillId="0" borderId="21" xfId="0" applyBorder="1" applyAlignment="1">
      <alignment wrapText="1"/>
    </xf>
    <xf numFmtId="0" fontId="0" fillId="0" borderId="0" xfId="0" applyFill="1" applyBorder="1"/>
    <xf numFmtId="0" fontId="0" fillId="0" borderId="0" xfId="0" applyBorder="1" applyAlignment="1"/>
    <xf numFmtId="0" fontId="0" fillId="0" borderId="0" xfId="0" applyFont="1" applyAlignment="1">
      <alignment horizontal="left"/>
    </xf>
    <xf numFmtId="0" fontId="0" fillId="0" borderId="0" xfId="0" applyFill="1" applyBorder="1" applyAlignment="1">
      <alignment wrapText="1"/>
    </xf>
    <xf numFmtId="0" fontId="0" fillId="0" borderId="0" xfId="0" quotePrefix="1" applyBorder="1" applyAlignment="1"/>
    <xf numFmtId="14" fontId="0" fillId="3" borderId="25" xfId="0" applyNumberFormat="1" applyFill="1" applyBorder="1" applyAlignment="1"/>
    <xf numFmtId="0" fontId="0" fillId="0" borderId="24" xfId="0" applyBorder="1" applyAlignment="1"/>
    <xf numFmtId="0" fontId="3" fillId="0" borderId="0" xfId="0" applyFont="1" applyBorder="1" applyAlignment="1"/>
    <xf numFmtId="0" fontId="3" fillId="0" borderId="0" xfId="0" applyFont="1" applyBorder="1"/>
    <xf numFmtId="14" fontId="0" fillId="0" borderId="13" xfId="0" applyNumberFormat="1" applyFill="1" applyBorder="1" applyAlignment="1">
      <alignment horizontal="center"/>
    </xf>
    <xf numFmtId="1" fontId="4" fillId="0" borderId="0" xfId="6" applyNumberFormat="1" applyFill="1" applyAlignment="1">
      <alignment horizontal="center"/>
    </xf>
    <xf numFmtId="0" fontId="0" fillId="0" borderId="20" xfId="0" applyBorder="1"/>
    <xf numFmtId="164" fontId="4" fillId="0" borderId="30" xfId="6" applyNumberFormat="1" applyBorder="1" applyAlignment="1">
      <alignment horizontal="center"/>
    </xf>
    <xf numFmtId="164" fontId="6" fillId="0" borderId="29" xfId="6" applyNumberFormat="1" applyFont="1" applyBorder="1" applyAlignment="1">
      <alignment horizontal="center" vertical="center" wrapText="1"/>
    </xf>
    <xf numFmtId="164" fontId="6" fillId="0" borderId="20" xfId="6" applyNumberFormat="1" applyFont="1" applyBorder="1" applyAlignment="1">
      <alignment horizontal="center" vertical="center" wrapText="1"/>
    </xf>
    <xf numFmtId="0" fontId="6" fillId="0" borderId="0" xfId="6" applyFont="1" applyBorder="1" applyAlignment="1"/>
    <xf numFmtId="0" fontId="0" fillId="0" borderId="0" xfId="0" applyFont="1" applyBorder="1"/>
    <xf numFmtId="0" fontId="0" fillId="0" borderId="21" xfId="0" applyFill="1" applyBorder="1"/>
    <xf numFmtId="0" fontId="13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10" fillId="0" borderId="0" xfId="0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0" fontId="6" fillId="0" borderId="18" xfId="6" applyFont="1" applyBorder="1" applyAlignment="1">
      <alignment horizontal="right"/>
    </xf>
    <xf numFmtId="0" fontId="6" fillId="0" borderId="12" xfId="6" applyFont="1" applyBorder="1" applyAlignment="1">
      <alignment horizontal="center"/>
    </xf>
    <xf numFmtId="0" fontId="4" fillId="0" borderId="0" xfId="6" applyFont="1" applyFill="1" applyAlignment="1">
      <alignment horizontal="right"/>
    </xf>
    <xf numFmtId="0" fontId="4" fillId="0" borderId="0" xfId="6" applyFont="1" applyFill="1" applyAlignment="1">
      <alignment horizontal="left"/>
    </xf>
    <xf numFmtId="0" fontId="6" fillId="0" borderId="0" xfId="6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0" fontId="4" fillId="0" borderId="0" xfId="6" applyAlignment="1">
      <alignment horizontal="center"/>
    </xf>
    <xf numFmtId="0" fontId="6" fillId="3" borderId="0" xfId="6" applyFont="1" applyFill="1" applyAlignment="1">
      <alignment horizontal="center"/>
    </xf>
    <xf numFmtId="0" fontId="4" fillId="0" borderId="0" xfId="6" applyFont="1" applyFill="1" applyAlignment="1">
      <alignment horizontal="center"/>
    </xf>
    <xf numFmtId="0" fontId="14" fillId="0" borderId="0" xfId="0" applyFont="1"/>
    <xf numFmtId="0" fontId="11" fillId="0" borderId="0" xfId="0" applyFont="1"/>
    <xf numFmtId="0" fontId="0" fillId="4" borderId="24" xfId="0" applyFill="1" applyBorder="1" applyAlignment="1">
      <alignment wrapText="1"/>
    </xf>
    <xf numFmtId="0" fontId="0" fillId="4" borderId="26" xfId="0" applyFill="1" applyBorder="1" applyAlignment="1">
      <alignment wrapText="1"/>
    </xf>
    <xf numFmtId="0" fontId="0" fillId="4" borderId="23" xfId="0" applyFill="1" applyBorder="1" applyAlignment="1">
      <alignment wrapText="1"/>
    </xf>
    <xf numFmtId="0" fontId="0" fillId="4" borderId="28" xfId="0" applyFill="1" applyBorder="1" applyAlignment="1">
      <alignment wrapText="1"/>
    </xf>
  </cellXfs>
  <cellStyles count="20">
    <cellStyle name="Check Cell 2" xfId="2" xr:uid="{00000000-0005-0000-0000-000000000000}"/>
    <cellStyle name="Currency 2" xfId="3" xr:uid="{00000000-0005-0000-0000-000001000000}"/>
    <cellStyle name="Currency 3" xfId="4" xr:uid="{00000000-0005-0000-0000-000002000000}"/>
    <cellStyle name="Normal" xfId="0" builtinId="0"/>
    <cellStyle name="Normal 2" xfId="5" xr:uid="{00000000-0005-0000-0000-000004000000}"/>
    <cellStyle name="Normal 2 2" xfId="6" xr:uid="{00000000-0005-0000-0000-000005000000}"/>
    <cellStyle name="Normal 2 2 2" xfId="7" xr:uid="{00000000-0005-0000-0000-000006000000}"/>
    <cellStyle name="Normal 2 3" xfId="8" xr:uid="{00000000-0005-0000-0000-000007000000}"/>
    <cellStyle name="Normal 2 3 2" xfId="9" xr:uid="{00000000-0005-0000-0000-000008000000}"/>
    <cellStyle name="Normal 2 3 3" xfId="19" xr:uid="{00000000-0005-0000-0000-000009000000}"/>
    <cellStyle name="Normal 3" xfId="10" xr:uid="{00000000-0005-0000-0000-00000A000000}"/>
    <cellStyle name="Normal 3 2" xfId="11" xr:uid="{00000000-0005-0000-0000-00000B000000}"/>
    <cellStyle name="Normal 3 3" xfId="12" xr:uid="{00000000-0005-0000-0000-00000C000000}"/>
    <cellStyle name="Normal 4" xfId="13" xr:uid="{00000000-0005-0000-0000-00000D000000}"/>
    <cellStyle name="Normal 4 2" xfId="14" xr:uid="{00000000-0005-0000-0000-00000E000000}"/>
    <cellStyle name="Normal 4 3" xfId="15" xr:uid="{00000000-0005-0000-0000-00000F000000}"/>
    <cellStyle name="Normal 5" xfId="16" xr:uid="{00000000-0005-0000-0000-000010000000}"/>
    <cellStyle name="Normal 5 2" xfId="18" xr:uid="{00000000-0005-0000-0000-000011000000}"/>
    <cellStyle name="Normal 6" xfId="17" xr:uid="{00000000-0005-0000-0000-000012000000}"/>
    <cellStyle name="Normal 7" xfId="1" xr:uid="{00000000-0005-0000-0000-000013000000}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504825</xdr:colOff>
          <xdr:row>3</xdr:row>
          <xdr:rowOff>9525</xdr:rowOff>
        </xdr:from>
        <xdr:to>
          <xdr:col>6</xdr:col>
          <xdr:colOff>495300</xdr:colOff>
          <xdr:row>3</xdr:row>
          <xdr:rowOff>190500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0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11</xdr:row>
          <xdr:rowOff>9525</xdr:rowOff>
        </xdr:from>
        <xdr:to>
          <xdr:col>3</xdr:col>
          <xdr:colOff>600075</xdr:colOff>
          <xdr:row>12</xdr:row>
          <xdr:rowOff>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0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lantTable" displayName="PlantTable" ref="L3:S23" totalsRowShown="0" headerRowDxfId="0">
  <autoFilter ref="L3:S23" xr:uid="{00000000-0009-0000-0100-000001000000}"/>
  <tableColumns count="8">
    <tableColumn id="1" xr3:uid="{00000000-0010-0000-0000-000001000000}" name="Plant"/>
    <tableColumn id="2" xr3:uid="{00000000-0010-0000-0000-000002000000}" name="Plant Address"/>
    <tableColumn id="3" xr3:uid="{00000000-0010-0000-0000-000003000000}" name="Processing Lab"/>
    <tableColumn id="4" xr3:uid="{00000000-0010-0000-0000-000004000000}" name="Processing Address"/>
    <tableColumn id="5" xr3:uid="{00000000-0010-0000-0000-000005000000}" name="APHIS #"/>
    <tableColumn id="6" xr3:uid="{00000000-0010-0000-0000-000006000000}" name="Part #"/>
    <tableColumn id="7" xr3:uid="{00000000-0010-0000-0000-000007000000}" name="FSIS #"/>
    <tableColumn id="8" xr3:uid="{00000000-0010-0000-0000-000008000000}" name="Sampl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37"/>
  <sheetViews>
    <sheetView tabSelected="1" workbookViewId="0">
      <selection activeCell="A8" sqref="A8"/>
    </sheetView>
  </sheetViews>
  <sheetFormatPr defaultRowHeight="15" x14ac:dyDescent="0.25"/>
  <cols>
    <col min="1" max="1" width="9.140625" customWidth="1"/>
    <col min="3" max="4" width="10.7109375" bestFit="1" customWidth="1"/>
    <col min="12" max="12" width="27.5703125" bestFit="1" customWidth="1"/>
    <col min="13" max="13" width="43.140625" bestFit="1" customWidth="1"/>
    <col min="14" max="14" width="16.28515625" style="56" bestFit="1" customWidth="1"/>
    <col min="15" max="15" width="38.28515625" bestFit="1" customWidth="1"/>
    <col min="16" max="16" width="12" bestFit="1" customWidth="1"/>
    <col min="17" max="17" width="8.28515625" bestFit="1" customWidth="1"/>
    <col min="18" max="18" width="14.7109375" bestFit="1" customWidth="1"/>
    <col min="19" max="19" width="9.85546875" bestFit="1" customWidth="1"/>
  </cols>
  <sheetData>
    <row r="1" spans="1:20" ht="28.5" x14ac:dyDescent="0.45">
      <c r="A1" s="91" t="s">
        <v>15</v>
      </c>
      <c r="B1" s="91"/>
      <c r="C1" s="91"/>
      <c r="D1" s="91"/>
      <c r="E1" s="91"/>
      <c r="F1" s="91"/>
      <c r="G1" s="91"/>
      <c r="H1" s="91"/>
      <c r="I1" s="91"/>
      <c r="J1" s="92"/>
      <c r="L1" s="89" t="s">
        <v>21</v>
      </c>
      <c r="M1" s="89"/>
      <c r="N1" s="89"/>
      <c r="O1" s="89"/>
      <c r="P1" s="89"/>
      <c r="Q1" s="89"/>
      <c r="R1" s="89"/>
    </row>
    <row r="2" spans="1:20" ht="15" customHeight="1" x14ac:dyDescent="0.25">
      <c r="A2" s="61"/>
      <c r="B2" s="61"/>
      <c r="C2" s="61"/>
      <c r="D2" s="61"/>
      <c r="E2" s="61"/>
      <c r="F2" s="61"/>
      <c r="G2" s="61"/>
      <c r="H2" s="61"/>
      <c r="I2" s="61"/>
      <c r="J2" s="62"/>
      <c r="L2" s="90" t="s">
        <v>93</v>
      </c>
      <c r="M2" s="90"/>
      <c r="N2" s="90"/>
      <c r="O2" s="90"/>
      <c r="P2" s="90"/>
      <c r="Q2" s="90"/>
      <c r="R2" s="90"/>
      <c r="S2" s="73" t="s">
        <v>36</v>
      </c>
      <c r="T2" s="55">
        <f>COUNTA(R4:R101)</f>
        <v>0</v>
      </c>
    </row>
    <row r="3" spans="1:20" x14ac:dyDescent="0.25">
      <c r="A3" s="61"/>
      <c r="B3" s="61"/>
      <c r="C3" s="61"/>
      <c r="D3" s="61"/>
      <c r="E3" s="61"/>
      <c r="F3" s="61"/>
      <c r="G3" s="61"/>
      <c r="H3" s="61"/>
      <c r="I3" s="61"/>
      <c r="J3" s="62"/>
      <c r="L3" s="1" t="s">
        <v>9</v>
      </c>
      <c r="M3" s="1" t="s">
        <v>17</v>
      </c>
      <c r="N3" s="1" t="s">
        <v>8</v>
      </c>
      <c r="O3" s="1" t="s">
        <v>18</v>
      </c>
      <c r="P3" s="1" t="s">
        <v>20</v>
      </c>
      <c r="Q3" s="1" t="s">
        <v>16</v>
      </c>
      <c r="R3" s="1" t="s">
        <v>19</v>
      </c>
      <c r="S3" s="1" t="s">
        <v>47</v>
      </c>
    </row>
    <row r="4" spans="1:20" ht="15.75" x14ac:dyDescent="0.25">
      <c r="A4" s="78" t="s">
        <v>14</v>
      </c>
      <c r="B4" s="63"/>
      <c r="C4" s="63"/>
      <c r="D4" s="63"/>
      <c r="E4" s="63"/>
      <c r="F4" s="63"/>
      <c r="G4" s="63"/>
      <c r="H4" s="63"/>
      <c r="I4" s="63"/>
      <c r="J4" s="62"/>
      <c r="L4" s="56" t="s">
        <v>27</v>
      </c>
      <c r="M4" s="56" t="s">
        <v>100</v>
      </c>
      <c r="P4" s="56"/>
      <c r="R4" s="56"/>
    </row>
    <row r="5" spans="1:20" ht="15" customHeight="1" x14ac:dyDescent="0.25">
      <c r="A5" s="104" t="s">
        <v>101</v>
      </c>
      <c r="B5" s="104"/>
      <c r="C5" s="104"/>
      <c r="D5" s="104"/>
      <c r="E5" s="104"/>
      <c r="F5" s="104"/>
      <c r="G5" s="104"/>
      <c r="H5" s="104"/>
      <c r="I5" s="104"/>
      <c r="J5" s="105"/>
      <c r="L5" s="56" t="s">
        <v>28</v>
      </c>
      <c r="P5" s="56"/>
      <c r="R5" s="56"/>
    </row>
    <row r="6" spans="1:20" s="56" customFormat="1" ht="15" customHeight="1" x14ac:dyDescent="0.25">
      <c r="A6" s="106"/>
      <c r="B6" s="106"/>
      <c r="C6" s="106"/>
      <c r="D6" s="106"/>
      <c r="E6" s="106"/>
      <c r="F6" s="106"/>
      <c r="G6" s="106"/>
      <c r="H6" s="106"/>
      <c r="I6" s="106"/>
      <c r="J6" s="107"/>
      <c r="L6" s="56" t="s">
        <v>29</v>
      </c>
      <c r="Q6"/>
    </row>
    <row r="7" spans="1:20" s="56" customFormat="1" ht="16.5" customHeight="1" x14ac:dyDescent="0.25">
      <c r="A7" s="77" t="s">
        <v>41</v>
      </c>
      <c r="B7" s="77"/>
      <c r="C7" s="77"/>
      <c r="D7" s="77"/>
      <c r="E7" s="77"/>
      <c r="F7" s="77"/>
      <c r="G7" s="77"/>
      <c r="H7" s="77"/>
      <c r="I7" s="77"/>
      <c r="J7" s="64"/>
      <c r="L7" s="56" t="s">
        <v>30</v>
      </c>
      <c r="Q7" s="49"/>
    </row>
    <row r="8" spans="1:20" s="56" customFormat="1" ht="16.5" customHeight="1" x14ac:dyDescent="0.25">
      <c r="A8" s="69"/>
      <c r="B8" s="69"/>
      <c r="C8" s="69"/>
      <c r="D8" s="69"/>
      <c r="E8" s="69"/>
      <c r="F8" s="69"/>
      <c r="G8" s="69"/>
      <c r="H8" s="69"/>
      <c r="I8" s="69"/>
      <c r="J8" s="70"/>
      <c r="L8" s="56" t="s">
        <v>31</v>
      </c>
      <c r="Q8" s="49"/>
    </row>
    <row r="9" spans="1:20" s="56" customFormat="1" ht="16.5" customHeight="1" x14ac:dyDescent="0.25">
      <c r="A9" s="78" t="s">
        <v>89</v>
      </c>
      <c r="B9" s="72"/>
      <c r="C9" s="72"/>
      <c r="D9" s="69"/>
      <c r="E9" s="69"/>
      <c r="F9" s="69"/>
      <c r="G9" s="69"/>
      <c r="H9" s="69"/>
      <c r="I9" s="69"/>
      <c r="J9" s="70"/>
      <c r="L9" s="56" t="s">
        <v>32</v>
      </c>
    </row>
    <row r="10" spans="1:20" s="56" customFormat="1" ht="16.5" customHeight="1" x14ac:dyDescent="0.25">
      <c r="A10" s="75" t="s">
        <v>92</v>
      </c>
      <c r="B10" s="74"/>
      <c r="C10" s="76">
        <v>42783</v>
      </c>
      <c r="E10" s="75"/>
      <c r="G10" s="69"/>
      <c r="H10" s="69"/>
      <c r="I10" s="61"/>
      <c r="J10" s="88"/>
      <c r="L10" s="56" t="s">
        <v>33</v>
      </c>
    </row>
    <row r="11" spans="1:20" x14ac:dyDescent="0.25">
      <c r="A11" s="61"/>
      <c r="B11" s="61"/>
      <c r="C11" s="61"/>
      <c r="D11" s="61"/>
      <c r="E11" s="61"/>
      <c r="F11" s="61"/>
      <c r="G11" s="61"/>
      <c r="H11" s="61"/>
      <c r="I11" s="61"/>
      <c r="J11" s="62"/>
      <c r="L11" s="56" t="s">
        <v>34</v>
      </c>
      <c r="O11" s="56"/>
      <c r="P11" s="56"/>
      <c r="Q11" s="56"/>
      <c r="R11" s="56"/>
    </row>
    <row r="12" spans="1:20" x14ac:dyDescent="0.25">
      <c r="A12" s="79" t="s">
        <v>40</v>
      </c>
      <c r="B12" s="61"/>
      <c r="C12" s="61"/>
      <c r="D12" s="61"/>
      <c r="E12" s="61"/>
      <c r="F12" s="61"/>
      <c r="G12" s="61"/>
      <c r="H12" s="61"/>
      <c r="I12" s="61"/>
      <c r="J12" s="62"/>
      <c r="L12" s="56" t="s">
        <v>35</v>
      </c>
      <c r="M12" s="56"/>
      <c r="O12" s="56"/>
      <c r="P12" s="56"/>
      <c r="R12" s="56"/>
    </row>
    <row r="13" spans="1:20" s="56" customFormat="1" x14ac:dyDescent="0.25">
      <c r="A13" s="61"/>
      <c r="B13" s="61"/>
      <c r="C13" s="61"/>
      <c r="D13" s="61"/>
      <c r="E13" s="61"/>
      <c r="F13" s="61"/>
      <c r="G13" s="61"/>
      <c r="H13" s="61"/>
      <c r="I13" s="61"/>
      <c r="J13" s="62"/>
      <c r="L13" t="s">
        <v>5</v>
      </c>
    </row>
    <row r="14" spans="1:20" s="56" customFormat="1" x14ac:dyDescent="0.25">
      <c r="A14" s="79" t="s">
        <v>90</v>
      </c>
      <c r="B14" s="61"/>
      <c r="C14" s="61"/>
      <c r="D14" s="61"/>
      <c r="E14" s="61"/>
      <c r="F14" s="61"/>
      <c r="G14" s="61"/>
      <c r="H14" s="61"/>
      <c r="I14" s="61"/>
      <c r="J14" s="62"/>
      <c r="L14" s="56" t="s">
        <v>24</v>
      </c>
    </row>
    <row r="15" spans="1:20" s="56" customFormat="1" x14ac:dyDescent="0.25">
      <c r="A15" s="87" t="s">
        <v>98</v>
      </c>
      <c r="B15" s="61"/>
      <c r="C15" s="61"/>
      <c r="D15" s="61"/>
      <c r="E15" s="61"/>
      <c r="F15" s="61"/>
      <c r="G15" s="61"/>
      <c r="H15" s="61"/>
      <c r="I15" s="61"/>
      <c r="J15" s="62"/>
      <c r="L15" s="56" t="s">
        <v>23</v>
      </c>
    </row>
    <row r="16" spans="1:20" s="56" customFormat="1" x14ac:dyDescent="0.25">
      <c r="A16" s="71"/>
      <c r="B16" s="61"/>
      <c r="C16" s="61"/>
      <c r="D16" s="61"/>
      <c r="E16" s="61"/>
      <c r="F16" s="61"/>
      <c r="G16" s="61"/>
      <c r="H16" s="61"/>
      <c r="I16" s="61"/>
      <c r="J16" s="62"/>
      <c r="L16" s="56" t="s">
        <v>25</v>
      </c>
    </row>
    <row r="17" spans="1:19" x14ac:dyDescent="0.25">
      <c r="A17" s="57" t="s">
        <v>42</v>
      </c>
      <c r="B17" s="57"/>
      <c r="C17" s="57"/>
      <c r="D17" s="57"/>
      <c r="E17" s="57"/>
      <c r="F17" s="57"/>
      <c r="G17" s="61"/>
      <c r="H17" s="61"/>
      <c r="I17" s="61"/>
      <c r="J17" s="62"/>
      <c r="L17" s="56" t="s">
        <v>26</v>
      </c>
      <c r="M17" s="56"/>
      <c r="O17" s="56"/>
      <c r="P17" s="56"/>
      <c r="Q17" s="56"/>
      <c r="R17" s="56"/>
      <c r="S17" s="56"/>
    </row>
    <row r="18" spans="1:19" x14ac:dyDescent="0.25">
      <c r="A18" s="60"/>
      <c r="B18" s="61"/>
      <c r="C18" s="67"/>
      <c r="D18" s="67"/>
      <c r="E18" s="61"/>
      <c r="F18" s="61"/>
      <c r="G18" s="61"/>
      <c r="H18" s="61"/>
      <c r="I18" s="61"/>
      <c r="J18" s="62"/>
      <c r="L18" s="56" t="s">
        <v>39</v>
      </c>
      <c r="M18" s="56"/>
      <c r="O18" s="56"/>
      <c r="P18" s="56"/>
      <c r="Q18" s="56"/>
      <c r="R18" s="56"/>
      <c r="S18" s="56"/>
    </row>
    <row r="19" spans="1:19" x14ac:dyDescent="0.25">
      <c r="A19" s="60"/>
      <c r="B19" s="61"/>
      <c r="C19" s="67"/>
      <c r="D19" s="67"/>
      <c r="E19" s="61"/>
      <c r="F19" s="61"/>
      <c r="G19" s="61"/>
      <c r="H19" s="61"/>
      <c r="I19" s="61"/>
      <c r="J19" s="62"/>
      <c r="L19" s="56" t="s">
        <v>22</v>
      </c>
      <c r="M19" s="56"/>
      <c r="O19" s="56"/>
      <c r="P19" s="56"/>
      <c r="R19" s="56"/>
      <c r="S19" s="56"/>
    </row>
    <row r="20" spans="1:19" x14ac:dyDescent="0.25">
      <c r="A20" s="60"/>
      <c r="B20" s="61"/>
      <c r="C20" s="67"/>
      <c r="D20" s="67"/>
      <c r="E20" s="61"/>
      <c r="F20" s="61"/>
      <c r="G20" s="61"/>
      <c r="H20" s="61"/>
      <c r="I20" s="61"/>
      <c r="J20" s="62"/>
      <c r="L20" t="s">
        <v>37</v>
      </c>
      <c r="M20" s="56"/>
      <c r="O20" s="56"/>
      <c r="P20" s="56"/>
      <c r="R20" s="56"/>
      <c r="S20" s="56"/>
    </row>
    <row r="21" spans="1:19" x14ac:dyDescent="0.25">
      <c r="A21" s="60"/>
      <c r="B21" s="61"/>
      <c r="C21" s="61"/>
      <c r="D21" s="61"/>
      <c r="E21" s="61"/>
      <c r="F21" s="61"/>
      <c r="G21" s="61"/>
      <c r="H21" s="61"/>
      <c r="I21" s="61"/>
      <c r="J21" s="62"/>
      <c r="L21" t="s">
        <v>38</v>
      </c>
      <c r="M21" s="56"/>
      <c r="O21" s="56"/>
      <c r="P21" s="56"/>
      <c r="Q21" s="56"/>
      <c r="R21" s="56"/>
      <c r="S21" s="56"/>
    </row>
    <row r="22" spans="1:19" x14ac:dyDescent="0.25">
      <c r="A22" s="60"/>
      <c r="B22" s="61"/>
      <c r="C22" s="61"/>
      <c r="D22" s="61"/>
      <c r="E22" s="61"/>
      <c r="F22" s="61"/>
      <c r="G22" s="61"/>
      <c r="H22" s="61"/>
      <c r="I22" s="61"/>
      <c r="J22" s="62"/>
      <c r="L22" t="s">
        <v>94</v>
      </c>
      <c r="M22" s="56"/>
      <c r="O22" s="56"/>
      <c r="P22" s="56"/>
      <c r="Q22" s="56"/>
      <c r="R22" s="56"/>
      <c r="S22" s="56"/>
    </row>
    <row r="23" spans="1:19" x14ac:dyDescent="0.25">
      <c r="A23" s="60"/>
      <c r="B23" s="61"/>
      <c r="C23" s="61"/>
      <c r="D23" s="61"/>
      <c r="E23" s="61"/>
      <c r="F23" s="61"/>
      <c r="G23" s="61"/>
      <c r="H23" s="61"/>
      <c r="I23" s="61"/>
      <c r="J23" s="62"/>
      <c r="L23" s="56" t="s">
        <v>10</v>
      </c>
      <c r="M23" s="56"/>
      <c r="O23" s="56"/>
      <c r="P23" s="56"/>
      <c r="Q23" s="56"/>
      <c r="R23" s="56"/>
      <c r="S23" s="56"/>
    </row>
    <row r="24" spans="1:19" x14ac:dyDescent="0.25">
      <c r="A24" s="60"/>
      <c r="B24" s="61"/>
      <c r="C24" s="61"/>
      <c r="D24" s="61"/>
      <c r="E24" s="61"/>
      <c r="F24" s="61"/>
      <c r="G24" s="61"/>
      <c r="H24" s="61"/>
      <c r="I24" s="61"/>
      <c r="J24" s="62"/>
      <c r="M24" s="56"/>
      <c r="O24" s="56"/>
      <c r="P24" s="56"/>
      <c r="R24" s="56"/>
    </row>
    <row r="25" spans="1:19" ht="15.75" x14ac:dyDescent="0.25">
      <c r="A25" s="60"/>
      <c r="B25" s="61"/>
      <c r="C25" s="61"/>
      <c r="D25" s="61"/>
      <c r="E25" s="61"/>
      <c r="F25" s="61"/>
      <c r="G25" s="61"/>
      <c r="H25" s="61"/>
      <c r="I25" s="61"/>
      <c r="J25" s="62"/>
      <c r="L25" s="102" t="s">
        <v>102</v>
      </c>
    </row>
    <row r="26" spans="1:19" ht="15.75" x14ac:dyDescent="0.25">
      <c r="A26" s="60"/>
      <c r="B26" s="61"/>
      <c r="C26" s="61"/>
      <c r="D26" s="61"/>
      <c r="E26" s="61"/>
      <c r="F26" s="61"/>
      <c r="G26" s="61"/>
      <c r="H26" s="61"/>
      <c r="I26" s="61"/>
      <c r="J26" s="62"/>
      <c r="L26" s="103" t="s">
        <v>103</v>
      </c>
    </row>
    <row r="27" spans="1:19" x14ac:dyDescent="0.25">
      <c r="A27" s="60"/>
      <c r="B27" s="61"/>
      <c r="C27" s="61"/>
      <c r="D27" s="61"/>
      <c r="E27" s="61"/>
      <c r="F27" s="61"/>
      <c r="G27" s="61"/>
      <c r="H27" s="61"/>
      <c r="I27" s="61"/>
      <c r="J27" s="62"/>
    </row>
    <row r="28" spans="1:19" x14ac:dyDescent="0.25">
      <c r="A28" s="60"/>
      <c r="B28" s="61"/>
      <c r="C28" s="61"/>
      <c r="D28" s="61"/>
      <c r="E28" s="61"/>
      <c r="F28" s="61"/>
      <c r="G28" s="61"/>
      <c r="H28" s="61"/>
      <c r="I28" s="61"/>
      <c r="J28" s="62"/>
    </row>
    <row r="29" spans="1:19" x14ac:dyDescent="0.25">
      <c r="A29" s="60"/>
      <c r="B29" s="61"/>
      <c r="C29" s="61"/>
      <c r="D29" s="61"/>
      <c r="E29" s="61"/>
      <c r="F29" s="61"/>
      <c r="G29" s="61"/>
      <c r="H29" s="61"/>
      <c r="I29" s="61"/>
      <c r="J29" s="62"/>
      <c r="L29" s="56"/>
    </row>
    <row r="30" spans="1:19" x14ac:dyDescent="0.25">
      <c r="A30" s="60"/>
      <c r="B30" s="61"/>
      <c r="C30" s="61"/>
      <c r="D30" s="61"/>
      <c r="E30" s="61"/>
      <c r="F30" s="61"/>
      <c r="G30" s="61"/>
      <c r="H30" s="61"/>
      <c r="I30" s="61"/>
      <c r="J30" s="62"/>
    </row>
    <row r="31" spans="1:19" x14ac:dyDescent="0.25">
      <c r="A31" s="60"/>
      <c r="B31" s="61"/>
      <c r="C31" s="61"/>
      <c r="D31" s="61"/>
      <c r="E31" s="61"/>
      <c r="F31" s="61"/>
      <c r="G31" s="61"/>
      <c r="H31" s="61"/>
      <c r="I31" s="61"/>
      <c r="J31" s="62"/>
    </row>
    <row r="32" spans="1:19" x14ac:dyDescent="0.25">
      <c r="A32" s="60"/>
      <c r="B32" s="61"/>
      <c r="C32" s="61"/>
      <c r="D32" s="61"/>
      <c r="E32" s="61"/>
      <c r="F32" s="61"/>
      <c r="G32" s="61"/>
      <c r="H32" s="61"/>
      <c r="I32" s="61"/>
      <c r="J32" s="62"/>
    </row>
    <row r="33" spans="1:10" x14ac:dyDescent="0.25">
      <c r="A33" s="60"/>
      <c r="B33" s="61"/>
      <c r="C33" s="61"/>
      <c r="D33" s="61"/>
      <c r="E33" s="61"/>
      <c r="F33" s="61"/>
      <c r="G33" s="61"/>
      <c r="H33" s="61"/>
      <c r="I33" s="61"/>
      <c r="J33" s="62"/>
    </row>
    <row r="34" spans="1:10" x14ac:dyDescent="0.25">
      <c r="A34" s="60"/>
      <c r="B34" s="61"/>
      <c r="C34" s="61"/>
      <c r="D34" s="61"/>
      <c r="E34" s="61"/>
      <c r="F34" s="61"/>
      <c r="G34" s="61"/>
      <c r="H34" s="61"/>
      <c r="I34" s="61"/>
      <c r="J34" s="62"/>
    </row>
    <row r="35" spans="1:10" x14ac:dyDescent="0.25">
      <c r="A35" s="60"/>
      <c r="B35" s="61"/>
      <c r="C35" s="61"/>
      <c r="D35" s="61"/>
      <c r="E35" s="61"/>
      <c r="F35" s="61"/>
      <c r="G35" s="61"/>
      <c r="H35" s="61"/>
      <c r="I35" s="61"/>
      <c r="J35" s="62"/>
    </row>
    <row r="36" spans="1:10" x14ac:dyDescent="0.25">
      <c r="A36" s="60"/>
      <c r="B36" s="61"/>
      <c r="C36" s="61"/>
      <c r="D36" s="61"/>
      <c r="E36" s="61"/>
      <c r="F36" s="61"/>
      <c r="G36" s="61"/>
      <c r="H36" s="61"/>
      <c r="I36" s="61"/>
      <c r="J36" s="62"/>
    </row>
    <row r="37" spans="1:10" x14ac:dyDescent="0.25">
      <c r="A37" s="65"/>
      <c r="B37" s="57"/>
      <c r="C37" s="57"/>
      <c r="D37" s="57"/>
      <c r="E37" s="57"/>
      <c r="F37" s="57"/>
      <c r="G37" s="57"/>
      <c r="H37" s="57"/>
      <c r="I37" s="57"/>
      <c r="J37" s="66"/>
    </row>
  </sheetData>
  <mergeCells count="4">
    <mergeCell ref="L1:R1"/>
    <mergeCell ref="A5:J6"/>
    <mergeCell ref="L2:R2"/>
    <mergeCell ref="A1:J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FileBrowseBtn_Click">
                <anchor moveWithCells="1">
                  <from>
                    <xdr:col>5</xdr:col>
                    <xdr:colOff>504825</xdr:colOff>
                    <xdr:row>3</xdr:row>
                    <xdr:rowOff>9525</xdr:rowOff>
                  </from>
                  <to>
                    <xdr:col>6</xdr:col>
                    <xdr:colOff>495300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5" name="Button 4">
              <controlPr defaultSize="0" print="0" autoFill="0" autoPict="0" macro="[0]!GenerateBtn_Click">
                <anchor moveWithCells="1" sizeWithCells="1">
                  <from>
                    <xdr:col>2</xdr:col>
                    <xdr:colOff>571500</xdr:colOff>
                    <xdr:row>11</xdr:row>
                    <xdr:rowOff>9525</xdr:rowOff>
                  </from>
                  <to>
                    <xdr:col>3</xdr:col>
                    <xdr:colOff>600075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pageSetUpPr fitToPage="1"/>
  </sheetPr>
  <dimension ref="A1:T85"/>
  <sheetViews>
    <sheetView zoomScaleNormal="100" workbookViewId="0">
      <selection activeCell="S3" sqref="S3"/>
    </sheetView>
  </sheetViews>
  <sheetFormatPr defaultColWidth="8.85546875" defaultRowHeight="15" x14ac:dyDescent="0.25"/>
  <cols>
    <col min="1" max="1" width="39.28515625" style="35" customWidth="1"/>
    <col min="2" max="2" width="10.5703125" style="35" bestFit="1" customWidth="1"/>
    <col min="3" max="3" width="11.28515625" style="35" customWidth="1"/>
    <col min="4" max="4" width="8.85546875" style="35" customWidth="1"/>
    <col min="5" max="5" width="8.85546875" style="35"/>
    <col min="6" max="6" width="7.140625" style="35" customWidth="1"/>
    <col min="7" max="17" width="8.85546875" style="35"/>
    <col min="18" max="18" width="8.85546875" style="35" customWidth="1"/>
    <col min="19" max="19" width="19.28515625" style="35" customWidth="1"/>
    <col min="20" max="16384" width="8.85546875" style="35"/>
  </cols>
  <sheetData>
    <row r="1" spans="1:20" ht="15.75" thickBot="1" x14ac:dyDescent="0.3">
      <c r="A1" s="1"/>
      <c r="B1" s="17"/>
      <c r="C1" s="12"/>
      <c r="D1" s="12"/>
      <c r="E1" s="12"/>
      <c r="F1" s="12"/>
      <c r="G1" s="12"/>
      <c r="H1" s="12"/>
      <c r="I1" s="12"/>
      <c r="J1" s="98" t="s">
        <v>12</v>
      </c>
      <c r="K1" s="98"/>
      <c r="L1" s="98"/>
      <c r="M1" s="98"/>
      <c r="N1" s="98"/>
      <c r="O1" s="12"/>
      <c r="S1" s="1" t="s">
        <v>64</v>
      </c>
      <c r="T1" s="35" t="s">
        <v>97</v>
      </c>
    </row>
    <row r="2" spans="1:20" ht="15.75" thickBot="1" x14ac:dyDescent="0.3">
      <c r="A2" s="18" t="s">
        <v>48</v>
      </c>
      <c r="B2" s="80"/>
      <c r="C2" s="1"/>
      <c r="D2" s="46" t="s">
        <v>50</v>
      </c>
      <c r="E2" s="45"/>
      <c r="F2" s="47"/>
      <c r="G2" s="48"/>
      <c r="H2" s="49"/>
      <c r="J2" s="98"/>
      <c r="K2" s="98"/>
      <c r="L2" s="98"/>
      <c r="M2" s="98"/>
      <c r="N2" s="98"/>
      <c r="S2" s="68" t="s">
        <v>99</v>
      </c>
      <c r="T2" s="56"/>
    </row>
    <row r="3" spans="1:20" ht="15.75" thickBot="1" x14ac:dyDescent="0.3">
      <c r="A3" s="18" t="s">
        <v>49</v>
      </c>
      <c r="B3" s="27">
        <f>K9</f>
        <v>0</v>
      </c>
      <c r="C3" s="1"/>
      <c r="D3" s="19" t="s">
        <v>51</v>
      </c>
      <c r="E3" s="27">
        <f>L9</f>
        <v>0</v>
      </c>
      <c r="F3" s="1"/>
      <c r="G3" s="46"/>
      <c r="H3" s="50"/>
      <c r="J3" s="98"/>
      <c r="K3" s="98"/>
      <c r="L3" s="98"/>
      <c r="M3" s="98"/>
      <c r="N3" s="98"/>
      <c r="S3" s="35" t="s">
        <v>81</v>
      </c>
    </row>
    <row r="4" spans="1:20" x14ac:dyDescent="0.25">
      <c r="S4" s="35" t="s">
        <v>82</v>
      </c>
      <c r="T4" s="35" t="s">
        <v>83</v>
      </c>
    </row>
    <row r="5" spans="1:20" x14ac:dyDescent="0.25">
      <c r="A5" s="7"/>
      <c r="B5" s="4"/>
      <c r="C5" s="4"/>
      <c r="D5" s="32"/>
      <c r="E5" s="32"/>
      <c r="F5" s="99" t="s">
        <v>0</v>
      </c>
      <c r="G5" s="99"/>
      <c r="H5" s="32"/>
      <c r="I5" s="99" t="s">
        <v>0</v>
      </c>
      <c r="J5" s="99"/>
      <c r="K5" s="32" t="s">
        <v>1</v>
      </c>
      <c r="L5" s="32" t="s">
        <v>2</v>
      </c>
      <c r="M5" s="2"/>
      <c r="N5" s="2"/>
      <c r="O5" s="2"/>
      <c r="S5" s="35" t="s">
        <v>52</v>
      </c>
      <c r="T5" s="35" t="s">
        <v>53</v>
      </c>
    </row>
    <row r="6" spans="1:20" x14ac:dyDescent="0.25">
      <c r="A6" s="7"/>
      <c r="B6" s="4"/>
      <c r="C6" s="100" t="s">
        <v>47</v>
      </c>
      <c r="D6" s="100"/>
      <c r="E6" s="100"/>
      <c r="F6" s="101"/>
      <c r="G6" s="101"/>
      <c r="H6" s="10" t="s">
        <v>3</v>
      </c>
      <c r="I6" s="101"/>
      <c r="J6" s="101"/>
      <c r="K6" s="81"/>
      <c r="L6" s="81"/>
      <c r="M6" s="30" t="s">
        <v>7</v>
      </c>
      <c r="N6" s="52"/>
      <c r="O6" s="30"/>
      <c r="S6" s="35" t="s">
        <v>54</v>
      </c>
      <c r="T6" s="35" t="s">
        <v>55</v>
      </c>
    </row>
    <row r="7" spans="1:20" x14ac:dyDescent="0.25">
      <c r="A7" s="3"/>
      <c r="B7" s="4"/>
      <c r="C7" s="4"/>
      <c r="D7" s="5"/>
      <c r="E7" s="32"/>
      <c r="F7" s="95"/>
      <c r="G7" s="95"/>
      <c r="H7" s="10"/>
      <c r="I7" s="96"/>
      <c r="J7" s="96"/>
      <c r="K7" s="31"/>
      <c r="L7" s="31"/>
      <c r="M7" s="6"/>
      <c r="N7" s="2"/>
      <c r="O7" s="2"/>
      <c r="S7" s="35" t="s">
        <v>56</v>
      </c>
      <c r="T7" s="35" t="s">
        <v>58</v>
      </c>
    </row>
    <row r="8" spans="1:20" x14ac:dyDescent="0.25">
      <c r="A8" s="8"/>
      <c r="B8" s="4"/>
      <c r="C8" s="4"/>
      <c r="D8" s="5"/>
      <c r="E8" s="32"/>
      <c r="F8" s="95"/>
      <c r="G8" s="95"/>
      <c r="H8" s="10"/>
      <c r="I8" s="96"/>
      <c r="J8" s="96"/>
      <c r="K8" s="31"/>
      <c r="L8" s="31"/>
      <c r="M8" s="6"/>
      <c r="N8" s="2"/>
      <c r="O8" s="2"/>
      <c r="S8" s="35" t="s">
        <v>57</v>
      </c>
      <c r="T8" s="35" t="s">
        <v>59</v>
      </c>
    </row>
    <row r="9" spans="1:20" x14ac:dyDescent="0.25">
      <c r="A9" s="8"/>
      <c r="B9" s="4"/>
      <c r="C9" s="4"/>
      <c r="D9" s="5"/>
      <c r="E9" s="32"/>
      <c r="F9" s="51"/>
      <c r="G9" s="52"/>
      <c r="H9" s="30"/>
      <c r="I9" s="51"/>
      <c r="J9" s="33" t="s">
        <v>13</v>
      </c>
      <c r="K9" s="31">
        <f>SUM(K6:K8)</f>
        <v>0</v>
      </c>
      <c r="L9" s="31">
        <f>SUM(L6:L8)</f>
        <v>0</v>
      </c>
      <c r="M9" s="6"/>
      <c r="N9" s="2"/>
      <c r="O9" s="2"/>
      <c r="S9" s="35" t="s">
        <v>76</v>
      </c>
      <c r="T9" s="35" t="s">
        <v>60</v>
      </c>
    </row>
    <row r="10" spans="1:20" ht="15.75" thickBot="1" x14ac:dyDescent="0.3">
      <c r="A10" s="8"/>
      <c r="B10" s="4"/>
      <c r="C10" s="4"/>
      <c r="D10" s="5"/>
      <c r="E10" s="32"/>
      <c r="F10" s="51"/>
      <c r="G10" s="52"/>
      <c r="H10" s="30"/>
      <c r="I10" s="51"/>
      <c r="J10" s="29"/>
      <c r="K10" s="31"/>
      <c r="L10" s="31"/>
      <c r="M10" s="6"/>
      <c r="N10" s="2"/>
      <c r="O10" s="2"/>
      <c r="S10" s="35" t="s">
        <v>77</v>
      </c>
      <c r="T10" s="35" t="s">
        <v>61</v>
      </c>
    </row>
    <row r="11" spans="1:20" x14ac:dyDescent="0.25">
      <c r="A11" s="38" t="s">
        <v>46</v>
      </c>
      <c r="B11" s="11"/>
      <c r="C11" s="11"/>
      <c r="D11" s="13" t="s">
        <v>4</v>
      </c>
      <c r="E11" s="14"/>
      <c r="F11" s="94"/>
      <c r="G11" s="94"/>
      <c r="H11" s="94"/>
      <c r="I11" s="94"/>
      <c r="J11" s="94"/>
      <c r="K11" s="94"/>
      <c r="L11" s="14" t="s">
        <v>43</v>
      </c>
      <c r="M11" s="14"/>
      <c r="N11" s="14"/>
      <c r="O11" s="15"/>
      <c r="S11" s="35" t="s">
        <v>62</v>
      </c>
      <c r="T11" s="35" t="s">
        <v>63</v>
      </c>
    </row>
    <row r="12" spans="1:20" ht="15" customHeight="1" x14ac:dyDescent="0.25">
      <c r="A12" s="36"/>
      <c r="C12" s="82"/>
      <c r="D12" s="53" t="s">
        <v>44</v>
      </c>
      <c r="E12" s="86"/>
      <c r="F12" s="97"/>
      <c r="G12" s="97"/>
      <c r="H12" s="97"/>
      <c r="I12" s="97"/>
      <c r="J12" s="97"/>
      <c r="K12" s="97"/>
      <c r="L12" s="34"/>
      <c r="M12" s="34"/>
      <c r="N12" s="34"/>
      <c r="O12" s="54"/>
      <c r="S12" s="35" t="s">
        <v>8</v>
      </c>
      <c r="T12" s="35" t="s">
        <v>65</v>
      </c>
    </row>
    <row r="13" spans="1:20" ht="26.25" thickBot="1" x14ac:dyDescent="0.3">
      <c r="A13" s="37" t="s">
        <v>45</v>
      </c>
      <c r="B13" s="84" t="s">
        <v>79</v>
      </c>
      <c r="C13" s="85" t="s">
        <v>84</v>
      </c>
      <c r="D13" s="21" t="s">
        <v>11</v>
      </c>
      <c r="E13" s="25"/>
      <c r="F13" s="58" t="s">
        <v>2</v>
      </c>
      <c r="G13" s="93" t="s">
        <v>75</v>
      </c>
      <c r="H13" s="93"/>
      <c r="I13" s="59"/>
      <c r="J13" s="59"/>
      <c r="K13" s="59"/>
      <c r="L13" s="59"/>
      <c r="M13" s="26"/>
      <c r="N13" s="25">
        <f>E13*6</f>
        <v>0</v>
      </c>
      <c r="O13" s="16" t="s">
        <v>1</v>
      </c>
      <c r="S13" s="35" t="s">
        <v>18</v>
      </c>
      <c r="T13" s="35" t="s">
        <v>74</v>
      </c>
    </row>
    <row r="14" spans="1:20" x14ac:dyDescent="0.25">
      <c r="A14" s="28"/>
      <c r="B14" s="9"/>
      <c r="C14" s="83"/>
      <c r="D14" s="30"/>
      <c r="E14" s="30"/>
      <c r="F14" s="30"/>
      <c r="G14" s="30"/>
      <c r="H14" s="30"/>
      <c r="I14" s="30"/>
      <c r="J14" s="30"/>
      <c r="K14" s="30"/>
      <c r="L14" s="30"/>
      <c r="M14" s="32"/>
      <c r="N14" s="22"/>
      <c r="O14" s="23"/>
      <c r="S14" s="35" t="s">
        <v>66</v>
      </c>
      <c r="T14" s="35" t="s">
        <v>67</v>
      </c>
    </row>
    <row r="15" spans="1:20" ht="18.600000000000001" customHeight="1" x14ac:dyDescent="0.25">
      <c r="A15" s="28"/>
      <c r="B15" s="9"/>
      <c r="C15" s="9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22"/>
      <c r="O15" s="23"/>
      <c r="S15" s="35" t="s">
        <v>71</v>
      </c>
      <c r="T15" s="35" t="s">
        <v>72</v>
      </c>
    </row>
    <row r="16" spans="1:20" x14ac:dyDescent="0.25">
      <c r="A16" s="28"/>
      <c r="B16" s="9"/>
      <c r="C16" s="9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22"/>
      <c r="O16" s="23"/>
      <c r="S16" s="35" t="s">
        <v>69</v>
      </c>
      <c r="T16" s="35" t="s">
        <v>70</v>
      </c>
    </row>
    <row r="17" spans="1:20" x14ac:dyDescent="0.25">
      <c r="A17" s="28"/>
      <c r="B17" s="9"/>
      <c r="C17" s="9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22"/>
      <c r="O17" s="23"/>
      <c r="S17" s="35" t="s">
        <v>17</v>
      </c>
      <c r="T17" s="35" t="s">
        <v>91</v>
      </c>
    </row>
    <row r="18" spans="1:20" x14ac:dyDescent="0.25">
      <c r="A18" s="28"/>
      <c r="B18" s="9"/>
      <c r="C18" s="9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22"/>
      <c r="O18" s="23"/>
      <c r="S18" s="35" t="s">
        <v>78</v>
      </c>
      <c r="T18" s="35" t="s">
        <v>73</v>
      </c>
    </row>
    <row r="19" spans="1:20" x14ac:dyDescent="0.25">
      <c r="A19" s="28"/>
      <c r="B19" s="9"/>
      <c r="C19" s="9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22"/>
      <c r="O19" s="23"/>
      <c r="S19" s="35" t="s">
        <v>88</v>
      </c>
      <c r="T19" s="35" t="s">
        <v>68</v>
      </c>
    </row>
    <row r="20" spans="1:20" x14ac:dyDescent="0.25">
      <c r="A20" s="28"/>
      <c r="B20" s="9"/>
      <c r="C20" s="9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22"/>
      <c r="O20" s="23"/>
      <c r="S20" s="35" t="s">
        <v>79</v>
      </c>
      <c r="T20" s="35" t="s">
        <v>80</v>
      </c>
    </row>
    <row r="21" spans="1:20" x14ac:dyDescent="0.25">
      <c r="A21" s="28"/>
      <c r="B21" s="9"/>
      <c r="C21" s="9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22"/>
      <c r="O21" s="23"/>
      <c r="S21" s="35" t="s">
        <v>84</v>
      </c>
      <c r="T21" s="35" t="s">
        <v>85</v>
      </c>
    </row>
    <row r="22" spans="1:20" x14ac:dyDescent="0.25">
      <c r="A22" s="28"/>
      <c r="B22" s="9"/>
      <c r="C22" s="9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22"/>
      <c r="O22" s="23"/>
      <c r="S22" s="35" t="s">
        <v>86</v>
      </c>
      <c r="T22" s="35" t="s">
        <v>87</v>
      </c>
    </row>
    <row r="23" spans="1:20" x14ac:dyDescent="0.25">
      <c r="A23" s="28"/>
      <c r="B23" s="9"/>
      <c r="C23" s="9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22"/>
      <c r="O23" s="23"/>
      <c r="S23" s="35" t="s">
        <v>95</v>
      </c>
      <c r="T23" s="35" t="s">
        <v>96</v>
      </c>
    </row>
    <row r="24" spans="1:20" x14ac:dyDescent="0.25">
      <c r="A24" s="28"/>
      <c r="B24" s="9"/>
      <c r="C24" s="9"/>
      <c r="D24" s="30"/>
      <c r="E24" s="32"/>
      <c r="F24" s="32"/>
      <c r="G24" s="32"/>
      <c r="H24" s="30"/>
      <c r="I24" s="30"/>
      <c r="J24" s="30"/>
      <c r="K24" s="30"/>
      <c r="L24" s="30"/>
      <c r="M24" s="32"/>
      <c r="N24" s="30"/>
      <c r="O24" s="23"/>
    </row>
    <row r="25" spans="1:20" x14ac:dyDescent="0.25">
      <c r="A25" s="28"/>
      <c r="B25" s="9"/>
      <c r="C25" s="9"/>
      <c r="D25" s="30"/>
      <c r="E25" s="30"/>
      <c r="F25" s="30"/>
      <c r="G25" s="30"/>
      <c r="H25" s="30"/>
      <c r="I25" s="30"/>
      <c r="J25" s="30"/>
      <c r="K25" s="30"/>
      <c r="L25" s="30"/>
      <c r="M25" s="32"/>
      <c r="N25" s="22"/>
      <c r="O25" s="23"/>
    </row>
    <row r="26" spans="1:20" x14ac:dyDescent="0.25">
      <c r="A26" s="28"/>
      <c r="B26" s="9"/>
      <c r="C26" s="9"/>
      <c r="D26" s="30"/>
      <c r="E26" s="30"/>
      <c r="F26" s="32"/>
      <c r="G26" s="32"/>
      <c r="H26" s="30"/>
      <c r="I26" s="30"/>
      <c r="J26" s="30"/>
      <c r="K26" s="30"/>
      <c r="L26" s="30"/>
      <c r="M26" s="30"/>
      <c r="N26" s="32"/>
      <c r="O26" s="20"/>
    </row>
    <row r="27" spans="1:20" x14ac:dyDescent="0.25">
      <c r="A27" s="28"/>
      <c r="B27" s="9"/>
      <c r="C27" s="9"/>
      <c r="D27" s="30"/>
      <c r="E27" s="30"/>
      <c r="F27" s="32"/>
      <c r="G27" s="32"/>
      <c r="H27" s="30"/>
      <c r="I27" s="30"/>
      <c r="J27" s="30"/>
      <c r="K27" s="30"/>
      <c r="L27" s="30"/>
      <c r="M27" s="30"/>
      <c r="N27" s="32"/>
      <c r="O27" s="20"/>
    </row>
    <row r="28" spans="1:20" x14ac:dyDescent="0.25">
      <c r="A28" s="28"/>
      <c r="B28" s="9"/>
      <c r="C28" s="9"/>
      <c r="D28" s="30"/>
      <c r="E28" s="30"/>
      <c r="F28" s="32"/>
      <c r="G28" s="32"/>
      <c r="H28" s="30"/>
      <c r="I28" s="30"/>
      <c r="J28" s="30"/>
      <c r="K28" s="30"/>
      <c r="L28" s="30"/>
      <c r="M28" s="30"/>
      <c r="N28" s="30"/>
      <c r="O28" s="20"/>
    </row>
    <row r="29" spans="1:20" x14ac:dyDescent="0.25">
      <c r="A29" s="28"/>
      <c r="B29" s="9"/>
      <c r="C29" s="9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24"/>
    </row>
    <row r="30" spans="1:20" x14ac:dyDescent="0.25">
      <c r="A30" s="28"/>
      <c r="B30" s="9"/>
      <c r="C30" s="9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24"/>
    </row>
    <row r="31" spans="1:20" x14ac:dyDescent="0.25">
      <c r="A31" s="28"/>
      <c r="B31" s="9"/>
      <c r="C31" s="9"/>
      <c r="D31" s="30"/>
      <c r="E31" s="30"/>
      <c r="F31" s="32"/>
      <c r="G31" s="32"/>
      <c r="H31" s="30"/>
      <c r="I31" s="30"/>
      <c r="J31" s="30"/>
      <c r="K31" s="30"/>
      <c r="L31" s="30"/>
      <c r="M31" s="30"/>
      <c r="N31" s="30"/>
      <c r="O31" s="23"/>
    </row>
    <row r="32" spans="1:20" x14ac:dyDescent="0.25">
      <c r="A32" s="28"/>
      <c r="B32" s="9"/>
      <c r="C32" s="9"/>
      <c r="D32" s="30"/>
      <c r="E32" s="30"/>
      <c r="F32" s="32"/>
      <c r="G32" s="32"/>
      <c r="H32" s="30"/>
      <c r="I32" s="30"/>
      <c r="J32" s="30"/>
      <c r="K32" s="30"/>
      <c r="L32" s="30"/>
      <c r="M32" s="30"/>
      <c r="N32" s="30"/>
      <c r="O32" s="23"/>
    </row>
    <row r="33" spans="1:15" x14ac:dyDescent="0.25">
      <c r="A33" s="28"/>
      <c r="B33" s="9"/>
      <c r="C33" s="9"/>
      <c r="D33" s="30"/>
      <c r="E33" s="30"/>
      <c r="F33" s="32"/>
      <c r="G33" s="32"/>
      <c r="H33" s="30"/>
      <c r="I33" s="30"/>
      <c r="J33" s="30"/>
      <c r="K33" s="30"/>
      <c r="L33" s="30"/>
      <c r="M33" s="30"/>
      <c r="N33" s="30"/>
      <c r="O33" s="23"/>
    </row>
    <row r="34" spans="1:15" x14ac:dyDescent="0.25">
      <c r="A34" s="28"/>
      <c r="B34" s="9"/>
      <c r="C34" s="9"/>
      <c r="D34" s="30"/>
      <c r="E34" s="30"/>
      <c r="F34" s="32"/>
      <c r="G34" s="32"/>
      <c r="H34" s="30"/>
      <c r="I34" s="30"/>
      <c r="J34" s="30"/>
      <c r="K34" s="30"/>
      <c r="L34" s="30"/>
      <c r="M34" s="30"/>
      <c r="N34" s="30"/>
      <c r="O34" s="23"/>
    </row>
    <row r="35" spans="1:15" x14ac:dyDescent="0.25">
      <c r="A35" s="28"/>
      <c r="B35" s="9"/>
      <c r="C35" s="9"/>
      <c r="D35" s="30"/>
      <c r="E35" s="30"/>
      <c r="F35" s="32"/>
      <c r="G35" s="32"/>
      <c r="H35" s="30"/>
      <c r="I35" s="30"/>
      <c r="J35" s="30"/>
      <c r="K35" s="30"/>
      <c r="L35" s="30"/>
      <c r="M35" s="30"/>
      <c r="N35" s="30"/>
      <c r="O35" s="23"/>
    </row>
    <row r="36" spans="1:15" x14ac:dyDescent="0.25">
      <c r="A36" s="28"/>
      <c r="B36" s="9"/>
      <c r="C36" s="9"/>
      <c r="D36" s="30"/>
      <c r="E36" s="30"/>
      <c r="F36" s="32"/>
      <c r="G36" s="32"/>
      <c r="H36" s="30"/>
      <c r="I36" s="30"/>
      <c r="J36" s="30"/>
      <c r="K36" s="30"/>
      <c r="L36" s="30"/>
      <c r="M36" s="30"/>
      <c r="N36" s="30"/>
      <c r="O36" s="23"/>
    </row>
    <row r="37" spans="1:15" x14ac:dyDescent="0.25">
      <c r="A37" s="28"/>
      <c r="B37" s="9"/>
      <c r="C37" s="9"/>
      <c r="D37" s="30"/>
      <c r="E37" s="30"/>
      <c r="F37" s="32"/>
      <c r="G37" s="32"/>
      <c r="H37" s="30"/>
      <c r="I37" s="30"/>
      <c r="J37" s="30"/>
      <c r="K37" s="30"/>
      <c r="L37" s="30"/>
      <c r="M37" s="30"/>
      <c r="N37" s="30"/>
      <c r="O37" s="23"/>
    </row>
    <row r="38" spans="1:15" x14ac:dyDescent="0.25">
      <c r="A38" s="28"/>
      <c r="B38" s="9"/>
      <c r="C38" s="9"/>
      <c r="D38" s="30"/>
      <c r="E38" s="30"/>
      <c r="F38" s="32"/>
      <c r="G38" s="32"/>
      <c r="H38" s="30"/>
      <c r="I38" s="30"/>
      <c r="J38" s="30"/>
      <c r="K38" s="30"/>
      <c r="L38" s="30"/>
      <c r="M38" s="30"/>
      <c r="N38" s="30"/>
      <c r="O38" s="23"/>
    </row>
    <row r="39" spans="1:15" x14ac:dyDescent="0.25">
      <c r="A39" s="28"/>
      <c r="B39" s="9"/>
      <c r="C39" s="9"/>
      <c r="D39" s="30"/>
      <c r="E39" s="30"/>
      <c r="F39" s="32"/>
      <c r="G39" s="32"/>
      <c r="H39" s="30"/>
      <c r="I39" s="30"/>
      <c r="J39" s="30"/>
      <c r="K39" s="30"/>
      <c r="L39" s="30"/>
      <c r="M39" s="30"/>
      <c r="N39" s="30"/>
      <c r="O39" s="23"/>
    </row>
    <row r="40" spans="1:15" ht="15.75" thickBot="1" x14ac:dyDescent="0.3">
      <c r="A40" s="28"/>
      <c r="B40" s="9"/>
      <c r="C40" s="9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23"/>
    </row>
    <row r="41" spans="1:15" ht="16.5" thickBot="1" x14ac:dyDescent="0.3">
      <c r="A41" s="39" t="s">
        <v>6</v>
      </c>
      <c r="B41" s="40"/>
      <c r="C41" s="41"/>
      <c r="D41" s="42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4"/>
    </row>
    <row r="42" spans="1:15" ht="15.75" customHeight="1" x14ac:dyDescent="0.25"/>
    <row r="43" spans="1:15" ht="15.75" customHeight="1" x14ac:dyDescent="0.25"/>
    <row r="44" spans="1:15" ht="15.75" customHeight="1" x14ac:dyDescent="0.25"/>
    <row r="78" spans="1:19" s="56" customFormat="1" x14ac:dyDescent="0.25">
      <c r="A78" s="35"/>
      <c r="B78" s="35"/>
      <c r="C78" s="35"/>
      <c r="D78" s="35"/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R78" s="35"/>
      <c r="S78" s="35"/>
    </row>
    <row r="79" spans="1:19" s="56" customFormat="1" x14ac:dyDescent="0.25">
      <c r="A79" s="35"/>
      <c r="B79" s="35"/>
      <c r="C79" s="35"/>
      <c r="D79" s="35"/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</row>
    <row r="80" spans="1:19" s="56" customFormat="1" x14ac:dyDescent="0.25">
      <c r="A80" s="35"/>
      <c r="B80" s="35"/>
      <c r="C80" s="35"/>
      <c r="D80" s="35"/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</row>
    <row r="81" spans="1:19" s="56" customFormat="1" x14ac:dyDescent="0.25">
      <c r="A81" s="35"/>
      <c r="B81" s="35"/>
      <c r="C81" s="35"/>
      <c r="D81" s="35"/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/>
    </row>
    <row r="82" spans="1:19" s="56" customFormat="1" x14ac:dyDescent="0.25">
      <c r="A82" s="35"/>
      <c r="B82" s="35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</row>
    <row r="83" spans="1:19" s="56" customFormat="1" ht="15.75" customHeight="1" x14ac:dyDescent="0.25">
      <c r="A83" s="35"/>
      <c r="B83" s="35"/>
      <c r="C83" s="35"/>
      <c r="D83" s="35"/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</row>
    <row r="84" spans="1:19" ht="15.75" customHeight="1" x14ac:dyDescent="0.25">
      <c r="R84" s="56"/>
      <c r="S84" s="56"/>
    </row>
    <row r="85" spans="1:19" ht="15.75" customHeight="1" x14ac:dyDescent="0.25"/>
  </sheetData>
  <mergeCells count="13">
    <mergeCell ref="J1:N3"/>
    <mergeCell ref="F5:G5"/>
    <mergeCell ref="I5:J5"/>
    <mergeCell ref="C6:E6"/>
    <mergeCell ref="F6:G6"/>
    <mergeCell ref="I6:J6"/>
    <mergeCell ref="G13:H13"/>
    <mergeCell ref="F11:K11"/>
    <mergeCell ref="F7:G7"/>
    <mergeCell ref="I7:J7"/>
    <mergeCell ref="F8:G8"/>
    <mergeCell ref="I8:J8"/>
    <mergeCell ref="F12:K12"/>
  </mergeCells>
  <pageMargins left="0.25" right="0.25" top="0.75" bottom="0.75" header="0.3" footer="0.3"/>
  <pageSetup scale="5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27</vt:i4>
      </vt:variant>
    </vt:vector>
  </HeadingPairs>
  <TitlesOfParts>
    <vt:vector size="29" baseType="lpstr">
      <vt:lpstr>MBR Creator</vt:lpstr>
      <vt:lpstr>MBR U.S. Template</vt:lpstr>
      <vt:lpstr>'MBR U.S. Template'!APHIS</vt:lpstr>
      <vt:lpstr>'MBR U.S. Template'!Collection_Dates</vt:lpstr>
      <vt:lpstr>'MBR U.S. Template'!Collection_Source</vt:lpstr>
      <vt:lpstr>FilePath</vt:lpstr>
      <vt:lpstr>'MBR U.S. Template'!FSIS</vt:lpstr>
      <vt:lpstr>'MBR U.S. Template'!Location_of_Variables</vt:lpstr>
      <vt:lpstr>'MBR U.S. Template'!Lot_Range</vt:lpstr>
      <vt:lpstr>'MBR U.S. Template'!Lot_Range_1_Endings</vt:lpstr>
      <vt:lpstr>'MBR U.S. Template'!Lot_Range_1_Starters</vt:lpstr>
      <vt:lpstr>'MBR U.S. Template'!Page_Lot_Numbers</vt:lpstr>
      <vt:lpstr>'MBR U.S. Template'!Page_Num</vt:lpstr>
      <vt:lpstr>Page_Total_Lots</vt:lpstr>
      <vt:lpstr>'MBR U.S. Template'!Part_Number</vt:lpstr>
      <vt:lpstr>'MBR U.S. Template'!Plant_Address</vt:lpstr>
      <vt:lpstr>'MBR U.S. Template'!Plant_Name_List</vt:lpstr>
      <vt:lpstr>PlantHeader</vt:lpstr>
      <vt:lpstr>PlantTotal</vt:lpstr>
      <vt:lpstr>'MBR U.S. Template'!Processing_Address</vt:lpstr>
      <vt:lpstr>'MBR U.S. Template'!Processing_Dates</vt:lpstr>
      <vt:lpstr>'MBR U.S. Template'!Processing_Lab</vt:lpstr>
      <vt:lpstr>'MBR U.S. Template'!Range_Liter_Nums</vt:lpstr>
      <vt:lpstr>'MBR U.S. Template'!Range_Lot_Nums</vt:lpstr>
      <vt:lpstr>'MBR U.S. Template'!Sample_Date</vt:lpstr>
      <vt:lpstr>SampleDate</vt:lpstr>
      <vt:lpstr>SerumInventoryPlantRow</vt:lpstr>
      <vt:lpstr>'MBR U.S. Template'!TemplateVars</vt:lpstr>
      <vt:lpstr>'MBR U.S. Template'!Total_Sheet_Size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Owner;IT Business Solutions</dc:creator>
  <cp:lastModifiedBy>Zach</cp:lastModifiedBy>
  <cp:lastPrinted>2016-12-07T19:40:10Z</cp:lastPrinted>
  <dcterms:created xsi:type="dcterms:W3CDTF">2016-10-18T19:36:55Z</dcterms:created>
  <dcterms:modified xsi:type="dcterms:W3CDTF">2018-09-15T00:35:19Z</dcterms:modified>
</cp:coreProperties>
</file>